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GeorgeTolkach\Desktop\CG_2026\"/>
    </mc:Choice>
  </mc:AlternateContent>
  <xr:revisionPtr revIDLastSave="0" documentId="13_ncr:1_{11A7A922-746F-4E33-9DBF-1320179A0A8E}" xr6:coauthVersionLast="47" xr6:coauthVersionMax="47" xr10:uidLastSave="{00000000-0000-0000-0000-000000000000}"/>
  <bookViews>
    <workbookView xWindow="-120" yWindow="-120" windowWidth="29040" windowHeight="15720" xr2:uid="{F671797E-0AEA-4698-B834-214E294FD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9" i="1" l="1" a="1"/>
  <c r="H36" i="1"/>
  <c r="A14" i="1"/>
  <c r="B14" i="1"/>
  <c r="A15" i="1"/>
  <c r="B15" i="1"/>
  <c r="A16" i="1"/>
  <c r="B16" i="1"/>
  <c r="B13" i="1"/>
  <c r="A13" i="1"/>
  <c r="M34" i="1"/>
  <c r="K39" i="1" s="1"/>
  <c r="O36" i="1"/>
  <c r="M41" i="1" s="1"/>
  <c r="N35" i="1"/>
  <c r="L40" i="1" s="1"/>
  <c r="O35" i="1"/>
  <c r="M40" i="1" s="1"/>
  <c r="N34" i="1"/>
  <c r="L39" i="1" s="1"/>
  <c r="O34" i="1"/>
  <c r="M39" i="1" s="1"/>
  <c r="M35" i="1"/>
  <c r="K40" i="1" s="1"/>
  <c r="L35" i="1"/>
  <c r="L36" i="1"/>
  <c r="K36" i="1"/>
  <c r="J36" i="1"/>
  <c r="L34" i="1"/>
  <c r="I36" i="1"/>
  <c r="H35" i="1"/>
  <c r="I35" i="1"/>
  <c r="G35" i="1"/>
  <c r="H34" i="1"/>
  <c r="I34" i="1"/>
  <c r="G34" i="1"/>
  <c r="G30" i="1"/>
  <c r="M36" i="1" s="1"/>
  <c r="K41" i="1" s="1"/>
  <c r="H30" i="1"/>
  <c r="N36" i="1" s="1"/>
  <c r="L41" i="1" s="1"/>
  <c r="G15" i="1"/>
  <c r="F15" i="1"/>
  <c r="G36" i="1" s="1"/>
  <c r="K5" i="1"/>
  <c r="H21" i="1" l="1"/>
  <c r="K34" i="1" s="1"/>
  <c r="G21" i="1"/>
  <c r="J34" i="1" s="1"/>
  <c r="G22" i="1"/>
  <c r="J35" i="1" s="1"/>
  <c r="H22" i="1"/>
  <c r="K35" i="1" s="1"/>
  <c r="I45" i="1" l="1" a="1"/>
  <c r="A17" i="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<sst xmlns="http://schemas.openxmlformats.org/spreadsheetml/2006/main" count="20" uniqueCount="17">
  <si>
    <t>rotate</t>
  </si>
  <si>
    <t>degree</t>
  </si>
  <si>
    <t>radians</t>
  </si>
  <si>
    <t>about</t>
  </si>
  <si>
    <t>Step 1</t>
  </si>
  <si>
    <t>Move the point to the origin</t>
  </si>
  <si>
    <t>to</t>
  </si>
  <si>
    <t>.</t>
  </si>
  <si>
    <t>(</t>
  </si>
  <si>
    <t>)</t>
  </si>
  <si>
    <t>2D Cartesian</t>
  </si>
  <si>
    <t>2D Homogeous</t>
  </si>
  <si>
    <t>Step 2</t>
  </si>
  <si>
    <t>Rotate</t>
  </si>
  <si>
    <t>Step 3</t>
  </si>
  <si>
    <t>Move origin back to point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</si>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</sst>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Border="1"/>
    <xf numFmtId="0" fontId="0" fillId="3" borderId="7" xfId="0" applyFill="1" applyBorder="1"/>
    <xf numFmtId="0" fontId="0" fillId="5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Sheet1!$A$13:$A$20</c:f>
              <c:numCache>
                <c:formatCode>General</c:formatCode>
                <c:ptCount val="8"/>
                <c:pt idx="0">
                  <c:v>0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2.4019237886466835</c:v>
                </c:pt>
                <c:pt idx="5">
                  <c:v>2.0358983848622447</c:v>
                </c:pt>
                <c:pt idx="6">
                  <c:v>3.4019237886466835</c:v>
                </c:pt>
                <c:pt idx="7">
                  <c:v>3.7679491924311224</c:v>
                </c:pt>
              </c:numCache>
            </c:numRef>
          </c:xVal>
          <c:yVal>
            <c:numRef>
              <c:f>Sheet1!$B$13:$B$20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-1</c:v>
                </c:pt>
                <c:pt idx="3">
                  <c:v>0</c:v>
                </c:pt>
                <c:pt idx="4">
                  <c:v>3.5898384862245059E-2</c:v>
                </c:pt>
                <c:pt idx="5">
                  <c:v>-1.3301270189221936</c:v>
                </c:pt>
                <c:pt idx="6">
                  <c:v>-1.6961524227066325</c:v>
                </c:pt>
                <c:pt idx="7">
                  <c:v>-0.3301270189221937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55-4155-9E8D-88AF77570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022144"/>
        <c:axId val="1924737136"/>
      </c:scatterChart>
      <c:valAx>
        <c:axId val="204802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737136"/>
        <c:crosses val="autoZero"/>
        <c:crossBetween val="midCat"/>
      </c:valAx>
      <c:valAx>
        <c:axId val="192473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02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hart" Target="../charts/chart1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37800</xdr:colOff>
      <xdr:row>36</xdr:row>
      <xdr:rowOff>66390</xdr:rowOff>
    </xdr:from>
    <xdr:to>
      <xdr:col>8</xdr:col>
      <xdr:colOff>168480</xdr:colOff>
      <xdr:row>37</xdr:row>
      <xdr:rowOff>107370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E585E4E-9D7C-FB91-1FA9-2F5BF2E56ED2}"/>
                </a:ext>
              </a:extLst>
            </xdr14:cNvPr>
            <xdr14:cNvContentPartPr/>
          </xdr14:nvContentPartPr>
          <xdr14:nvPr macro=""/>
          <xdr14:xfrm>
            <a:off x="5524200" y="6619590"/>
            <a:ext cx="130680" cy="23148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E585E4E-9D7C-FB91-1FA9-2F5BF2E56ED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518080" y="6613470"/>
              <a:ext cx="142920" cy="24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612000</xdr:colOff>
      <xdr:row>36</xdr:row>
      <xdr:rowOff>47310</xdr:rowOff>
    </xdr:from>
    <xdr:to>
      <xdr:col>9</xdr:col>
      <xdr:colOff>352440</xdr:colOff>
      <xdr:row>37</xdr:row>
      <xdr:rowOff>107370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64990F96-CCCC-5BB5-C0EB-AD009CC96CF5}"/>
                </a:ext>
              </a:extLst>
            </xdr14:cNvPr>
            <xdr14:cNvContentPartPr/>
          </xdr14:nvContentPartPr>
          <xdr14:nvPr macro=""/>
          <xdr14:xfrm>
            <a:off x="6098400" y="6600510"/>
            <a:ext cx="426240" cy="25056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64990F96-CCCC-5BB5-C0EB-AD009CC96CF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092280" y="6594390"/>
              <a:ext cx="438480" cy="26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369720</xdr:colOff>
      <xdr:row>36</xdr:row>
      <xdr:rowOff>28230</xdr:rowOff>
    </xdr:from>
    <xdr:to>
      <xdr:col>12</xdr:col>
      <xdr:colOff>600480</xdr:colOff>
      <xdr:row>37</xdr:row>
      <xdr:rowOff>57690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9DD7C52D-42BF-8308-7200-26F59F55E306}"/>
                </a:ext>
              </a:extLst>
            </xdr14:cNvPr>
            <xdr14:cNvContentPartPr/>
          </xdr14:nvContentPartPr>
          <xdr14:nvPr macro=""/>
          <xdr14:xfrm>
            <a:off x="8599320" y="6581430"/>
            <a:ext cx="230760" cy="21996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9DD7C52D-42BF-8308-7200-26F59F55E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593200" y="6575310"/>
              <a:ext cx="243000" cy="23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419040</xdr:colOff>
      <xdr:row>42</xdr:row>
      <xdr:rowOff>37860</xdr:rowOff>
    </xdr:from>
    <xdr:to>
      <xdr:col>9</xdr:col>
      <xdr:colOff>29520</xdr:colOff>
      <xdr:row>43</xdr:row>
      <xdr:rowOff>162165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337DBE9A-75B3-8102-CFC8-DB1A9D5B7943}"/>
                </a:ext>
              </a:extLst>
            </xdr14:cNvPr>
            <xdr14:cNvContentPartPr/>
          </xdr14:nvContentPartPr>
          <xdr14:nvPr macro=""/>
          <xdr14:xfrm>
            <a:off x="5905440" y="7676910"/>
            <a:ext cx="296280" cy="30528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337DBE9A-75B3-8102-CFC8-DB1A9D5B794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899320" y="7670790"/>
              <a:ext cx="308520" cy="31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214920</xdr:colOff>
      <xdr:row>41</xdr:row>
      <xdr:rowOff>104715</xdr:rowOff>
    </xdr:from>
    <xdr:to>
      <xdr:col>10</xdr:col>
      <xdr:colOff>552600</xdr:colOff>
      <xdr:row>43</xdr:row>
      <xdr:rowOff>50040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528B9E6E-F519-0FB6-0BD4-8E9D5A452A69}"/>
                </a:ext>
              </a:extLst>
            </xdr14:cNvPr>
            <xdr14:cNvContentPartPr/>
          </xdr14:nvContentPartPr>
          <xdr14:nvPr macro=""/>
          <xdr14:xfrm>
            <a:off x="7072920" y="7562790"/>
            <a:ext cx="337680" cy="31680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528B9E6E-F519-0FB6-0BD4-8E9D5A452A69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7066800" y="7556670"/>
              <a:ext cx="349920" cy="3290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9</xdr:col>
      <xdr:colOff>442912</xdr:colOff>
      <xdr:row>11</xdr:row>
      <xdr:rowOff>157162</xdr:rowOff>
    </xdr:from>
    <xdr:to>
      <xdr:col>16</xdr:col>
      <xdr:colOff>214312</xdr:colOff>
      <xdr:row>26</xdr:row>
      <xdr:rowOff>147637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F2751F8-1A0D-1F99-FB91-E6C0B40B2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11:17:15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24575,'18'46'0,"3"-1"0,2-1 0,1-1 0,33 44 0,-23-37 0,54 109 0,-73-129 29,29 45-1,-14-26-1450,-22-36-5404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11:17:16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1184 1 24575,'-18'1'0,"1"0"0,-1 2 0,1 0 0,0 1 0,0 0 0,0 2 0,-21 9 0,-109 63 0,71-35 0,-50 31 0,-170 132 0,281-195 0,-143 90 0,-10 7 0,140-83-1365,18-13-5461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11:17:18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640 1 24575,'-9'13'0,"1"-1"0,-2 0 0,0-1 0,0 0 0,-1 0 0,-1-1 0,-12 8 0,-10 11 0,-197 198 0,6-5 0,186-194-1365,22-22-5461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11:17:19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24575,'18'11'0,"-1"1"0,0 0 0,-1 2 0,0 0 0,-1 1 0,20 25 0,-10-12 0,544 566 0,-492-507-1365,-60-68-5461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11:17:20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938 0 24575,'-23'18'0,"-16"15"0,-19 11 0,-10 16 0,-10 11 0,-6 7 0,-2 8 0,-4-1 0,8-2 0,9-10 0,9-14 0,10-7 0,10-13 0,12-8 0,7-5 0,4-3 0,5-4-8191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1E20B-CB4A-4D66-8E0E-505ACE675FEC}">
  <dimension ref="A2:P48"/>
  <sheetViews>
    <sheetView tabSelected="1" workbookViewId="0">
      <selection activeCell="O44" sqref="O44"/>
    </sheetView>
  </sheetViews>
  <sheetFormatPr defaultRowHeight="14.25"/>
  <sheetData>
    <row r="2" spans="1:16">
      <c r="A2" t="s">
        <v>10</v>
      </c>
    </row>
    <row r="3" spans="1:16">
      <c r="A3" s="6">
        <v>0</v>
      </c>
      <c r="B3" s="6">
        <v>1</v>
      </c>
      <c r="C3" s="4"/>
    </row>
    <row r="4" spans="1:16">
      <c r="A4" s="6">
        <v>-1</v>
      </c>
      <c r="B4" s="6">
        <v>0</v>
      </c>
      <c r="C4" s="4"/>
    </row>
    <row r="5" spans="1:16">
      <c r="A5" s="6">
        <v>0</v>
      </c>
      <c r="B5" s="6">
        <v>-1</v>
      </c>
      <c r="C5" s="4"/>
      <c r="F5" t="s">
        <v>0</v>
      </c>
      <c r="G5" s="1">
        <v>30</v>
      </c>
      <c r="H5" t="s">
        <v>1</v>
      </c>
      <c r="K5" s="5">
        <f>RADIANS(G5)</f>
        <v>0.52359877559829882</v>
      </c>
      <c r="L5" t="s">
        <v>2</v>
      </c>
    </row>
    <row r="6" spans="1:16">
      <c r="A6" s="6">
        <v>1</v>
      </c>
      <c r="B6" s="6">
        <v>0</v>
      </c>
      <c r="C6" s="4"/>
      <c r="F6" t="s">
        <v>3</v>
      </c>
      <c r="G6" s="1">
        <v>3</v>
      </c>
      <c r="H6" s="1">
        <v>5</v>
      </c>
    </row>
    <row r="9" spans="1:16">
      <c r="F9" t="s">
        <v>4</v>
      </c>
      <c r="G9" t="s">
        <v>5</v>
      </c>
    </row>
    <row r="11" spans="1:16">
      <c r="F11" s="2" t="s">
        <v>8</v>
      </c>
      <c r="G11" s="2">
        <v>2</v>
      </c>
      <c r="H11" s="2" t="s">
        <v>7</v>
      </c>
      <c r="I11" s="2">
        <v>3</v>
      </c>
      <c r="J11" s="2" t="s">
        <v>9</v>
      </c>
      <c r="K11" s="2" t="s">
        <v>6</v>
      </c>
      <c r="L11" s="2" t="s">
        <v>8</v>
      </c>
      <c r="M11" s="2">
        <v>0</v>
      </c>
      <c r="N11" s="2" t="s">
        <v>7</v>
      </c>
      <c r="O11" s="2">
        <v>0</v>
      </c>
      <c r="P11" s="2" t="s">
        <v>9</v>
      </c>
    </row>
    <row r="12" spans="1:16" ht="15" thickBot="1">
      <c r="A12" t="s">
        <v>11</v>
      </c>
    </row>
    <row r="13" spans="1:16" ht="15" thickTop="1">
      <c r="A13" s="6">
        <f>A3</f>
        <v>0</v>
      </c>
      <c r="B13" s="6">
        <f>B3</f>
        <v>1</v>
      </c>
      <c r="C13" s="7">
        <v>1</v>
      </c>
      <c r="F13" s="13">
        <v>1</v>
      </c>
      <c r="G13" s="14">
        <v>0</v>
      </c>
      <c r="H13" s="15">
        <v>0</v>
      </c>
    </row>
    <row r="14" spans="1:16">
      <c r="A14" s="6">
        <f t="shared" ref="A14:B14" si="0">A4</f>
        <v>-1</v>
      </c>
      <c r="B14" s="6">
        <f t="shared" si="0"/>
        <v>0</v>
      </c>
      <c r="C14" s="7">
        <v>1</v>
      </c>
      <c r="F14" s="16">
        <v>0</v>
      </c>
      <c r="G14" s="14">
        <v>1</v>
      </c>
      <c r="H14" s="17">
        <v>0</v>
      </c>
    </row>
    <row r="15" spans="1:16" ht="15" thickBot="1">
      <c r="A15" s="6">
        <f t="shared" ref="A15:B15" si="1">A5</f>
        <v>0</v>
      </c>
      <c r="B15" s="6">
        <f t="shared" si="1"/>
        <v>-1</v>
      </c>
      <c r="C15" s="7">
        <v>1</v>
      </c>
      <c r="F15" s="18">
        <f>-G6</f>
        <v>-3</v>
      </c>
      <c r="G15" s="19">
        <f>-I11</f>
        <v>-3</v>
      </c>
      <c r="H15" s="20">
        <v>1</v>
      </c>
    </row>
    <row r="16" spans="1:16" ht="15" thickTop="1">
      <c r="A16" s="6">
        <f t="shared" ref="A16:B16" si="2">A6</f>
        <v>1</v>
      </c>
      <c r="B16" s="6">
        <f t="shared" si="2"/>
        <v>0</v>
      </c>
      <c r="C16" s="7">
        <v>1</v>
      </c>
      <c r="F16" s="3"/>
    </row>
    <row r="17" spans="1:9">
      <c r="A17" s="2" cm="1">
        <f t="array" ref="A17:C20">MMULT(A13:C16,_xlfn.ANCHORARRAY(I45))</f>
        <v>2.4019237886466835</v>
      </c>
      <c r="B17" s="2">
        <v>3.5898384862245059E-2</v>
      </c>
      <c r="C17" s="7">
        <v>1</v>
      </c>
    </row>
    <row r="18" spans="1:9">
      <c r="A18" s="2">
        <v>2.0358983848622447</v>
      </c>
      <c r="B18" s="2">
        <v>-1.3301270189221936</v>
      </c>
      <c r="C18" s="7">
        <v>1</v>
      </c>
      <c r="F18" t="s">
        <v>12</v>
      </c>
      <c r="G18" t="s">
        <v>13</v>
      </c>
    </row>
    <row r="19" spans="1:9">
      <c r="A19" s="2">
        <v>3.4019237886466835</v>
      </c>
      <c r="B19" s="2">
        <v>-1.6961524227066325</v>
      </c>
      <c r="C19" s="7">
        <v>1</v>
      </c>
    </row>
    <row r="20" spans="1:9" ht="15" thickBot="1">
      <c r="A20" s="2">
        <v>3.7679491924311224</v>
      </c>
      <c r="B20" s="2">
        <v>-0.3301270189221937</v>
      </c>
      <c r="C20" s="7">
        <v>1</v>
      </c>
    </row>
    <row r="21" spans="1:9" ht="15" thickTop="1">
      <c r="G21" s="13">
        <f>COS(K5)</f>
        <v>0.86602540378443871</v>
      </c>
      <c r="H21" s="2">
        <f>SIN(K5)</f>
        <v>0.49999999999999994</v>
      </c>
      <c r="I21" s="22">
        <v>0</v>
      </c>
    </row>
    <row r="22" spans="1:9">
      <c r="G22" s="16">
        <f>-SIN(K5)</f>
        <v>-0.49999999999999994</v>
      </c>
      <c r="H22" s="2">
        <f>COS(K5)</f>
        <v>0.86602540378443871</v>
      </c>
      <c r="I22" s="21">
        <v>0</v>
      </c>
    </row>
    <row r="23" spans="1:9" ht="15" thickBot="1">
      <c r="G23" s="18">
        <v>0</v>
      </c>
      <c r="H23" s="2">
        <v>0</v>
      </c>
      <c r="I23" s="20">
        <v>1</v>
      </c>
    </row>
    <row r="24" spans="1:9" ht="15" thickTop="1"/>
    <row r="25" spans="1:9">
      <c r="F25" t="s">
        <v>14</v>
      </c>
      <c r="G25" t="s">
        <v>15</v>
      </c>
      <c r="I25" t="s">
        <v>16</v>
      </c>
    </row>
    <row r="27" spans="1:9" ht="15" thickBot="1"/>
    <row r="28" spans="1:9" ht="15" thickTop="1">
      <c r="G28" s="13">
        <v>1</v>
      </c>
      <c r="H28" s="2">
        <v>0</v>
      </c>
      <c r="I28" s="22">
        <v>0</v>
      </c>
    </row>
    <row r="29" spans="1:9">
      <c r="G29" s="16">
        <v>0</v>
      </c>
      <c r="H29" s="2">
        <v>1</v>
      </c>
      <c r="I29" s="21">
        <v>0</v>
      </c>
    </row>
    <row r="30" spans="1:9" ht="15" thickBot="1">
      <c r="G30" s="18">
        <f>G6</f>
        <v>3</v>
      </c>
      <c r="H30" s="2">
        <f>H6</f>
        <v>5</v>
      </c>
      <c r="I30" s="20">
        <v>1</v>
      </c>
    </row>
    <row r="31" spans="1:9" ht="15" thickTop="1"/>
    <row r="33" spans="7:15" ht="15" thickBot="1"/>
    <row r="34" spans="7:15" ht="15" thickTop="1">
      <c r="G34" s="40">
        <f>F13</f>
        <v>1</v>
      </c>
      <c r="H34" s="10">
        <f>G13</f>
        <v>0</v>
      </c>
      <c r="I34" s="37">
        <f t="shared" ref="I34" si="3">H13</f>
        <v>0</v>
      </c>
      <c r="J34" s="35">
        <f>G21</f>
        <v>0.86602540378443871</v>
      </c>
      <c r="K34" s="11">
        <f t="shared" ref="K34:L36" si="4">H21</f>
        <v>0.49999999999999994</v>
      </c>
      <c r="L34" s="33">
        <f t="shared" si="4"/>
        <v>0</v>
      </c>
      <c r="M34" s="31">
        <f>G28</f>
        <v>1</v>
      </c>
      <c r="N34" s="12">
        <f t="shared" ref="N34:O36" si="5">H28</f>
        <v>0</v>
      </c>
      <c r="O34" s="29">
        <f t="shared" si="5"/>
        <v>0</v>
      </c>
    </row>
    <row r="35" spans="7:15">
      <c r="G35" s="23">
        <f>F14</f>
        <v>0</v>
      </c>
      <c r="H35" s="10">
        <f t="shared" ref="H35:I35" si="6">G14</f>
        <v>1</v>
      </c>
      <c r="I35" s="24">
        <f t="shared" si="6"/>
        <v>0</v>
      </c>
      <c r="J35" s="25">
        <f t="shared" ref="J35:J36" si="7">G22</f>
        <v>-0.49999999999999994</v>
      </c>
      <c r="K35" s="11">
        <f t="shared" si="4"/>
        <v>0.86602540378443871</v>
      </c>
      <c r="L35" s="26">
        <f t="shared" si="4"/>
        <v>0</v>
      </c>
      <c r="M35" s="27">
        <f t="shared" ref="M35:M36" si="8">G29</f>
        <v>0</v>
      </c>
      <c r="N35" s="12">
        <f t="shared" si="5"/>
        <v>1</v>
      </c>
      <c r="O35" s="28">
        <f t="shared" si="5"/>
        <v>0</v>
      </c>
    </row>
    <row r="36" spans="7:15" ht="15" thickBot="1">
      <c r="G36" s="39">
        <f>F15</f>
        <v>-3</v>
      </c>
      <c r="H36" s="10">
        <f>-H30</f>
        <v>-5</v>
      </c>
      <c r="I36" s="38">
        <f t="shared" ref="I36" si="9">H15</f>
        <v>1</v>
      </c>
      <c r="J36" s="36">
        <f t="shared" si="7"/>
        <v>0</v>
      </c>
      <c r="K36" s="11">
        <f t="shared" si="4"/>
        <v>0</v>
      </c>
      <c r="L36" s="34">
        <f t="shared" si="4"/>
        <v>1</v>
      </c>
      <c r="M36" s="32">
        <f t="shared" si="8"/>
        <v>3</v>
      </c>
      <c r="N36" s="12">
        <f t="shared" si="5"/>
        <v>5</v>
      </c>
      <c r="O36" s="30">
        <f t="shared" si="5"/>
        <v>1</v>
      </c>
    </row>
    <row r="37" spans="7:15" ht="15" thickTop="1"/>
    <row r="38" spans="7:15" ht="15" thickBot="1"/>
    <row r="39" spans="7:15" ht="15" thickTop="1">
      <c r="G39" s="47" cm="1">
        <f t="array" ref="G39:I41">MMULT(G34:I36,J34:L36)</f>
        <v>0.86602540378443871</v>
      </c>
      <c r="H39" s="9">
        <v>0.49999999999999994</v>
      </c>
      <c r="I39" s="45">
        <v>0</v>
      </c>
      <c r="K39" s="31">
        <f>M34</f>
        <v>1</v>
      </c>
      <c r="L39" s="12">
        <f t="shared" ref="L39:M41" si="10">N34</f>
        <v>0</v>
      </c>
      <c r="M39" s="29">
        <f t="shared" si="10"/>
        <v>0</v>
      </c>
    </row>
    <row r="40" spans="7:15">
      <c r="G40" s="41">
        <v>-0.49999999999999994</v>
      </c>
      <c r="H40" s="9">
        <v>0.86602540378443871</v>
      </c>
      <c r="I40" s="42">
        <v>0</v>
      </c>
      <c r="K40" s="27">
        <f t="shared" ref="K40:K41" si="11">M35</f>
        <v>0</v>
      </c>
      <c r="L40" s="12">
        <f t="shared" si="10"/>
        <v>1</v>
      </c>
      <c r="M40" s="28">
        <f t="shared" si="10"/>
        <v>0</v>
      </c>
    </row>
    <row r="41" spans="7:15" ht="15" thickBot="1">
      <c r="G41" s="48">
        <v>-9.8076211353316456E-2</v>
      </c>
      <c r="H41" s="9">
        <v>-5.8301270189221936</v>
      </c>
      <c r="I41" s="46">
        <v>1</v>
      </c>
      <c r="K41" s="32">
        <f t="shared" si="11"/>
        <v>3</v>
      </c>
      <c r="L41" s="12">
        <f t="shared" si="10"/>
        <v>5</v>
      </c>
      <c r="M41" s="30">
        <f t="shared" si="10"/>
        <v>1</v>
      </c>
    </row>
    <row r="42" spans="7:15" ht="15" thickTop="1"/>
    <row r="44" spans="7:15" ht="15" thickBot="1"/>
    <row r="45" spans="7:15" ht="15" thickTop="1">
      <c r="I45" s="49" cm="1">
        <f t="array" ref="I45:K47">MMULT(_xlfn.ANCHORARRAY(G39),K39:M41)</f>
        <v>0.86602540378443871</v>
      </c>
      <c r="J45" s="8">
        <v>0.49999999999999994</v>
      </c>
      <c r="K45" s="51">
        <v>0</v>
      </c>
    </row>
    <row r="46" spans="7:15">
      <c r="I46" s="43">
        <v>-0.49999999999999994</v>
      </c>
      <c r="J46" s="8">
        <v>0.86602540378443871</v>
      </c>
      <c r="K46" s="44">
        <v>0</v>
      </c>
    </row>
    <row r="47" spans="7:15" ht="15" thickBot="1">
      <c r="I47" s="50">
        <v>2.9019237886466835</v>
      </c>
      <c r="J47" s="8">
        <v>-0.83012701892219365</v>
      </c>
      <c r="K47" s="52">
        <v>1</v>
      </c>
    </row>
    <row r="48" spans="7:15" ht="15" thickTop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George Tolkachov (TL_KCOMP_B_Y3)</dc:creator>
  <cp:lastModifiedBy>Student George Tolkachov (TL_KCOMP_B_Y3)</cp:lastModifiedBy>
  <dcterms:created xsi:type="dcterms:W3CDTF">2026-09-30T10:47:04Z</dcterms:created>
  <dcterms:modified xsi:type="dcterms:W3CDTF">2026-09-30T11:31:00Z</dcterms:modified>
</cp:coreProperties>
</file>