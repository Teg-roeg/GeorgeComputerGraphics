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GeorgeTolkach\Desktop\CG_2026\"/>
    </mc:Choice>
  </mc:AlternateContent>
  <xr:revisionPtr revIDLastSave="0" documentId="13_ncr:1_{8853DD4D-91B6-48EE-A1B8-9FF2A772596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E22" i="1"/>
  <c r="E26" i="1" s="1"/>
  <c r="E12" i="1" s="1"/>
  <c r="D22" i="1"/>
  <c r="D8" i="1" s="1"/>
  <c r="C22" i="1"/>
  <c r="D26" i="1" s="1"/>
  <c r="D12" i="1" s="1"/>
  <c r="C6" i="1"/>
  <c r="C21" i="1"/>
  <c r="E27" i="1" s="1"/>
  <c r="I13" i="1" s="1"/>
  <c r="D21" i="1"/>
  <c r="C26" i="1" s="1"/>
  <c r="C12" i="1" s="1"/>
  <c r="E21" i="1"/>
  <c r="E25" i="1" s="1"/>
  <c r="E11" i="1" s="1"/>
  <c r="C23" i="1"/>
  <c r="C9" i="1" s="1"/>
  <c r="D23" i="1"/>
  <c r="D9" i="1" s="1"/>
  <c r="E23" i="1"/>
  <c r="C27" i="1" s="1"/>
  <c r="G13" i="1" s="1"/>
  <c r="G26" i="1" l="1"/>
  <c r="G23" i="1"/>
  <c r="G22" i="1"/>
  <c r="C8" i="1"/>
  <c r="E8" i="1"/>
  <c r="E9" i="1"/>
  <c r="I7" i="1"/>
  <c r="H7" i="1"/>
  <c r="G21" i="1"/>
  <c r="C7" i="1" s="1"/>
  <c r="G7" i="1"/>
  <c r="D25" i="1"/>
  <c r="D11" i="1" s="1"/>
  <c r="D27" i="1"/>
  <c r="C25" i="1"/>
  <c r="C11" i="1" l="1"/>
  <c r="G25" i="1"/>
  <c r="H13" i="1"/>
  <c r="G27" i="1"/>
  <c r="D7" i="1"/>
  <c r="E7" i="1"/>
  <c r="E13" i="1" l="1"/>
  <c r="C13" i="1"/>
  <c r="D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<sst xmlns="http://schemas.openxmlformats.org/spreadsheetml/2006/main" count="44" uniqueCount="40">
  <si>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</si>
  <si>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</si>
  <si>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</si>
  <si>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</si>
  <si>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</si>
  <si>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</si>
  <si>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</si>
  <si>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</si>
  <si>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</si>
  <si>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</si>
  <si>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</si>
  <si>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</si>
  <si>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</si>
  <si>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</si>
  <si>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</si>
  <si>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</si>
  <si>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</si>
  <si>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</si>
  <si>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</si>
  <si>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</si>
  <si>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</si>
  <si>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</si>
  <si>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</si>
  <si>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</si>
  <si>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</si>
  <si>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</si>
  <si>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</si>
  <si>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</si>
  <si>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</si>
  <si>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</si>
  <si>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</si>
  <si>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</si>
  <si>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</si>
  <si>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</si>
  <si>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</si>
  <si>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Vertices of your letter</t>
  </si>
  <si>
    <t>. To be e-mailed to robert.sheehy@mtu.ie before midnight.</t>
  </si>
  <si>
    <t xml:space="preserve">= </t>
  </si>
  <si>
    <t>.normalised</t>
  </si>
  <si>
    <t>.normalsed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</si>
</sst>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1" applyNumberFormat="1" applyAlignment="1">
      <alignment horizontal="center"/>
    </xf>
    <xf numFmtId="0" fontId="2" fillId="2" borderId="14" xfId="1" applyNumberFormat="1" applyBorder="1" applyAlignment="1">
      <alignment horizontal="center"/>
    </xf>
    <xf numFmtId="0" fontId="2" fillId="2" borderId="15" xfId="1" applyNumberFormat="1" applyBorder="1" applyAlignment="1">
      <alignment horizontal="center"/>
    </xf>
    <xf numFmtId="0" fontId="0" fillId="0" borderId="0" xfId="0" quotePrefix="1" applyAlignment="1">
      <alignment horizontal="center" vertical="center"/>
    </xf>
    <xf numFmtId="0" fontId="4" fillId="4" borderId="0" xfId="3" applyNumberFormat="1" applyAlignment="1">
      <alignment horizontal="center"/>
    </xf>
    <xf numFmtId="0" fontId="3" fillId="3" borderId="0" xfId="2" applyNumberForma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1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593910</xdr:colOff>
      <xdr:row>2</xdr:row>
      <xdr:rowOff>89645</xdr:rowOff>
    </xdr:from>
    <xdr:to>
      <xdr:col>3</xdr:col>
      <xdr:colOff>1748118</xdr:colOff>
      <xdr:row>2</xdr:row>
      <xdr:rowOff>5129563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41D6B9-7C54-DF9E-E2BF-CA2760AA4C9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-3951" r="39737"/>
        <a:stretch>
          <a:fillRect/>
        </a:stretch>
      </xdr:blipFill>
      <xdr:spPr>
        <a:xfrm>
          <a:off x="1804145" y="403410"/>
          <a:ext cx="1759326" cy="5039918"/>
        </a:xfrm>
        <a:prstGeom prst="rect">
          <a:avLst/>
        </a:prstGeom>
      </xdr:spPr>
    </xdr:pic>
    <xdr:clientData/>
  </xdr:twoCellAnchor>
  <xdr:twoCellAnchor editAs="oneCell">
    <xdr:from>
      <xdr:col>3</xdr:col>
      <xdr:colOff>1692088</xdr:colOff>
      <xdr:row>2</xdr:row>
      <xdr:rowOff>112057</xdr:rowOff>
    </xdr:from>
    <xdr:to>
      <xdr:col>4</xdr:col>
      <xdr:colOff>1255058</xdr:colOff>
      <xdr:row>2</xdr:row>
      <xdr:rowOff>1613647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2A65F92-1343-606E-0687-2E28E75122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986" r="19608"/>
        <a:stretch>
          <a:fillRect/>
        </a:stretch>
      </xdr:blipFill>
      <xdr:spPr>
        <a:xfrm>
          <a:off x="3507441" y="425822"/>
          <a:ext cx="2073088" cy="1501590"/>
        </a:xfrm>
        <a:prstGeom prst="rect">
          <a:avLst/>
        </a:prstGeom>
      </xdr:spPr>
    </xdr:pic>
    <xdr:clientData/>
  </xdr:twoCellAnchor>
  <xdr:twoCellAnchor editAs="oneCell">
    <xdr:from>
      <xdr:col>3</xdr:col>
      <xdr:colOff>324970</xdr:colOff>
      <xdr:row>5</xdr:row>
      <xdr:rowOff>100853</xdr:rowOff>
    </xdr:from>
    <xdr:to>
      <xdr:col>4</xdr:col>
      <xdr:colOff>863277</xdr:colOff>
      <xdr:row>5</xdr:row>
      <xdr:rowOff>1558381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12A8402-1A1D-7BBC-887A-8945B35FC8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40323" y="5916706"/>
          <a:ext cx="3048425" cy="14575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opLeftCell="A4" zoomScale="145" zoomScaleNormal="145" workbookViewId="0">
      <selection activeCell="A28" sqref="A14:XFD28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style="25" customWidth="1"/>
    <col min="4" max="6" width="9.140625" style="25" customWidth="1"/>
    <col min="7" max="9" width="9.140625" style="25"/>
    <col min="10" max="10" width="16.42578125" style="35" customWidth="1"/>
    <col min="11" max="11" width="57" style="25" customWidth="1"/>
  </cols>
  <sheetData>
    <row r="1" spans="1:10" ht="12.75" customHeight="1" x14ac:dyDescent="0.2">
      <c r="A1" s="38" t="s">
        <v>19</v>
      </c>
      <c r="B1" s="38"/>
      <c r="C1" s="38"/>
      <c r="D1" s="38"/>
      <c r="E1" s="38"/>
      <c r="F1" s="38"/>
    </row>
    <row r="2" spans="1:10" ht="12.75" customHeight="1" x14ac:dyDescent="0.2">
      <c r="A2" s="39" t="s">
        <v>36</v>
      </c>
      <c r="B2" s="39"/>
      <c r="C2" s="39"/>
      <c r="D2" s="39"/>
      <c r="E2" s="39"/>
      <c r="F2" s="39"/>
    </row>
    <row r="3" spans="1:10" ht="12.75" customHeight="1" x14ac:dyDescent="0.2">
      <c r="A3" s="1" t="s">
        <v>25</v>
      </c>
    </row>
    <row r="4" spans="1:10" ht="12.75" customHeight="1" x14ac:dyDescent="0.2">
      <c r="B4" s="1" t="s">
        <v>22</v>
      </c>
      <c r="C4" s="26">
        <v>366252</v>
      </c>
    </row>
    <row r="6" spans="1:10" ht="12.75" customHeight="1" thickBot="1" x14ac:dyDescent="0.3">
      <c r="A6" s="1" t="s">
        <v>17</v>
      </c>
      <c r="B6" s="1" t="s">
        <v>5</v>
      </c>
      <c r="C6" s="27">
        <f>MOD(C4,100)-50</f>
        <v>2</v>
      </c>
    </row>
    <row r="7" spans="1:10" ht="12.75" customHeight="1" thickTop="1" thickBot="1" x14ac:dyDescent="0.3">
      <c r="A7" s="1" t="s">
        <v>23</v>
      </c>
      <c r="B7" s="1" t="s">
        <v>24</v>
      </c>
      <c r="C7" s="28">
        <f>C21/$G$21</f>
        <v>0.99076429675591937</v>
      </c>
      <c r="D7" s="27">
        <f t="shared" ref="D7:E7" si="0">D21/$G$21</f>
        <v>-9.5880415815088965E-2</v>
      </c>
      <c r="E7" s="29">
        <f t="shared" si="0"/>
        <v>-9.5880415815088965E-2</v>
      </c>
      <c r="F7" s="30" t="s">
        <v>37</v>
      </c>
      <c r="G7" s="33">
        <f>C21</f>
        <v>31</v>
      </c>
      <c r="H7" s="25">
        <f t="shared" ref="H7:I7" si="1">D21</f>
        <v>-3</v>
      </c>
      <c r="I7" s="34">
        <f t="shared" si="1"/>
        <v>-3</v>
      </c>
      <c r="J7" s="35" t="s">
        <v>38</v>
      </c>
    </row>
    <row r="8" spans="1:10" ht="12.75" customHeight="1" thickTop="1" thickBot="1" x14ac:dyDescent="0.3">
      <c r="A8" s="1" t="s">
        <v>8</v>
      </c>
      <c r="B8" s="1" t="s">
        <v>14</v>
      </c>
      <c r="C8" s="28">
        <f>C22</f>
        <v>1</v>
      </c>
      <c r="D8" s="27">
        <f t="shared" ref="D8:E8" si="2">D22</f>
        <v>1</v>
      </c>
      <c r="E8" s="29">
        <f t="shared" si="2"/>
        <v>3</v>
      </c>
    </row>
    <row r="9" spans="1:10" ht="12.75" customHeight="1" thickTop="1" thickBot="1" x14ac:dyDescent="0.3">
      <c r="A9" s="1" t="s">
        <v>26</v>
      </c>
      <c r="B9" s="1" t="s">
        <v>2</v>
      </c>
      <c r="C9" s="28">
        <f>C23</f>
        <v>-3</v>
      </c>
      <c r="D9" s="27">
        <f t="shared" ref="D9:E9" si="3">D23</f>
        <v>0</v>
      </c>
      <c r="E9" s="29">
        <f t="shared" si="3"/>
        <v>-2</v>
      </c>
    </row>
    <row r="10" spans="1:10" ht="12.75" customHeight="1" thickTop="1" thickBot="1" x14ac:dyDescent="0.3">
      <c r="C10" s="27"/>
    </row>
    <row r="11" spans="1:10" ht="12.75" customHeight="1" thickTop="1" thickBot="1" x14ac:dyDescent="0.3">
      <c r="A11" s="2" t="s">
        <v>29</v>
      </c>
      <c r="B11" s="1" t="s">
        <v>6</v>
      </c>
      <c r="C11" s="28">
        <f>C25</f>
        <v>33</v>
      </c>
      <c r="D11" s="27">
        <f t="shared" ref="D11:E11" si="4">D25</f>
        <v>0</v>
      </c>
      <c r="E11" s="29">
        <f t="shared" si="4"/>
        <v>47</v>
      </c>
    </row>
    <row r="12" spans="1:10" ht="12.75" customHeight="1" thickTop="1" thickBot="1" x14ac:dyDescent="0.3">
      <c r="A12" s="2"/>
      <c r="B12" s="1" t="s">
        <v>9</v>
      </c>
      <c r="C12" s="28">
        <f>C26</f>
        <v>-3</v>
      </c>
      <c r="D12" s="36">
        <f t="shared" ref="D12:E12" si="5">D26</f>
        <v>1</v>
      </c>
      <c r="E12" s="29">
        <f t="shared" si="5"/>
        <v>3</v>
      </c>
      <c r="F12" s="30"/>
      <c r="G12" s="37"/>
      <c r="I12" s="37"/>
    </row>
    <row r="13" spans="1:10" ht="12.75" customHeight="1" thickTop="1" thickBot="1" x14ac:dyDescent="0.3">
      <c r="A13" s="1"/>
      <c r="B13" s="1" t="s">
        <v>28</v>
      </c>
      <c r="C13" s="28">
        <f>C27/$G$27</f>
        <v>-6.4084133611200148E-2</v>
      </c>
      <c r="D13" s="27">
        <f t="shared" ref="D13:E13" si="6">D27/$G$27</f>
        <v>-9.6126200416800214E-2</v>
      </c>
      <c r="E13" s="29">
        <f t="shared" si="6"/>
        <v>0.99330407097360229</v>
      </c>
      <c r="F13" s="30" t="s">
        <v>32</v>
      </c>
      <c r="G13" s="33">
        <f>C27</f>
        <v>-2</v>
      </c>
      <c r="H13" s="25">
        <f t="shared" ref="H13:I13" si="7">D27</f>
        <v>-3</v>
      </c>
      <c r="I13" s="34">
        <f t="shared" si="7"/>
        <v>31</v>
      </c>
      <c r="J13" s="35" t="s">
        <v>39</v>
      </c>
    </row>
    <row r="14" spans="1:10" ht="12.75" hidden="1" customHeight="1" thickTop="1" x14ac:dyDescent="0.25">
      <c r="A14" s="1"/>
      <c r="B14" s="1"/>
      <c r="C14" s="27"/>
    </row>
    <row r="15" spans="1:10" ht="12.75" hidden="1" customHeight="1" x14ac:dyDescent="0.25">
      <c r="A15" s="1"/>
      <c r="B15" s="1"/>
      <c r="C15" s="27"/>
    </row>
    <row r="16" spans="1:10" ht="12.75" hidden="1" customHeight="1" x14ac:dyDescent="0.25">
      <c r="A16" s="1"/>
      <c r="B16" s="1"/>
      <c r="C16" s="27"/>
    </row>
    <row r="17" spans="1:7" ht="12.75" hidden="1" customHeight="1" x14ac:dyDescent="0.25">
      <c r="A17" s="1"/>
      <c r="B17" s="1"/>
      <c r="C17" s="27"/>
    </row>
    <row r="18" spans="1:7" ht="12.75" hidden="1" customHeight="1" x14ac:dyDescent="0.25">
      <c r="A18" s="1"/>
      <c r="B18" s="1"/>
      <c r="C18" s="27"/>
    </row>
    <row r="19" spans="1:7" ht="12.75" hidden="1" customHeight="1" x14ac:dyDescent="0.25">
      <c r="A19" s="1"/>
      <c r="B19" s="1"/>
      <c r="C19" s="27"/>
    </row>
    <row r="20" spans="1:7" ht="12.75" hidden="1" customHeight="1" x14ac:dyDescent="0.25">
      <c r="A20" s="1"/>
      <c r="B20" s="1"/>
      <c r="C20" s="27"/>
    </row>
    <row r="21" spans="1:7" ht="12.75" hidden="1" customHeight="1" x14ac:dyDescent="0.25">
      <c r="C21" s="31">
        <f>INT((C4/10000))-5</f>
        <v>31</v>
      </c>
      <c r="D21" s="31">
        <f>MOD(INT((C4/100)),10)-5</f>
        <v>-3</v>
      </c>
      <c r="E21" s="31">
        <f>MOD(INT((C4/100)),10)-5</f>
        <v>-3</v>
      </c>
      <c r="G21" s="25">
        <f>SQRT(C21*C21+D21*D21+E21*E21)</f>
        <v>31.28897569432403</v>
      </c>
    </row>
    <row r="22" spans="1:7" ht="12.75" hidden="1" customHeight="1" x14ac:dyDescent="0.25">
      <c r="C22" s="32">
        <f>MOD(INT((C4/10000)),6) + 1</f>
        <v>1</v>
      </c>
      <c r="D22" s="32">
        <f>MOD(MOD(INT((C4/1000)),10),6) +1</f>
        <v>1</v>
      </c>
      <c r="E22" s="32">
        <f>MOD(MOD(INT((C4/100)),10),6) +1</f>
        <v>3</v>
      </c>
      <c r="G22" s="25">
        <f t="shared" ref="G22:G27" si="8">SQRT(C22*C22+D22*D22+E22*E22)</f>
        <v>3.3166247903553998</v>
      </c>
    </row>
    <row r="23" spans="1:7" ht="12.75" hidden="1" customHeight="1" x14ac:dyDescent="0.25">
      <c r="C23" s="27">
        <f>MOD(C4,10)-5</f>
        <v>-3</v>
      </c>
      <c r="D23" s="27">
        <f>MOD(INT((C4/10)),10)-5</f>
        <v>0</v>
      </c>
      <c r="E23" s="27">
        <f>MOD(INT((C4/100)),10)-4</f>
        <v>-2</v>
      </c>
      <c r="G23" s="25">
        <f t="shared" si="8"/>
        <v>3.6055512754639891</v>
      </c>
    </row>
    <row r="24" spans="1:7" ht="12.75" hidden="1" customHeight="1" x14ac:dyDescent="0.2">
      <c r="G24" s="25">
        <f t="shared" si="8"/>
        <v>0</v>
      </c>
    </row>
    <row r="25" spans="1:7" ht="12.75" hidden="1" customHeight="1" x14ac:dyDescent="0.25">
      <c r="C25" s="27">
        <f>2+C21</f>
        <v>33</v>
      </c>
      <c r="D25" s="27">
        <f>3+D21</f>
        <v>0</v>
      </c>
      <c r="E25" s="27">
        <f>E21+50</f>
        <v>47</v>
      </c>
      <c r="G25" s="25">
        <f t="shared" si="8"/>
        <v>57.428216061444921</v>
      </c>
    </row>
    <row r="26" spans="1:7" ht="12.75" hidden="1" customHeight="1" x14ac:dyDescent="0.25">
      <c r="C26" s="31">
        <f>D21</f>
        <v>-3</v>
      </c>
      <c r="D26" s="31">
        <f>C22</f>
        <v>1</v>
      </c>
      <c r="E26" s="31">
        <f>E22</f>
        <v>3</v>
      </c>
      <c r="G26" s="25">
        <f t="shared" si="8"/>
        <v>4.358898943540674</v>
      </c>
    </row>
    <row r="27" spans="1:7" ht="12.75" hidden="1" customHeight="1" x14ac:dyDescent="0.25">
      <c r="A27" s="2"/>
      <c r="C27" s="31">
        <f>E23</f>
        <v>-2</v>
      </c>
      <c r="D27" s="31">
        <f>D21</f>
        <v>-3</v>
      </c>
      <c r="E27" s="31">
        <f>C21</f>
        <v>31</v>
      </c>
      <c r="G27" s="25">
        <f t="shared" si="8"/>
        <v>31.208973068654469</v>
      </c>
    </row>
    <row r="28" spans="1:7" ht="12.75" hidden="1" customHeight="1" x14ac:dyDescent="0.2"/>
    <row r="29" spans="1:7" ht="12.75" customHeight="1" thickTop="1" x14ac:dyDescent="0.2">
      <c r="A29" s="1" t="s">
        <v>34</v>
      </c>
      <c r="B29" s="1" t="s">
        <v>27</v>
      </c>
      <c r="C29" s="26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abSelected="1" zoomScale="85" zoomScaleNormal="85" workbookViewId="0">
      <selection activeCell="G3" sqref="G3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19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3"/>
      <c r="E1" s="3"/>
    </row>
    <row r="2" spans="3:13" ht="12.75" customHeight="1" x14ac:dyDescent="0.2">
      <c r="C2" s="4"/>
      <c r="D2" s="42" t="s">
        <v>35</v>
      </c>
      <c r="E2" s="43"/>
      <c r="F2" s="7"/>
      <c r="G2" s="3"/>
      <c r="H2" s="3"/>
      <c r="I2" s="3"/>
      <c r="J2" s="3"/>
      <c r="K2" s="3"/>
      <c r="L2" s="3"/>
    </row>
    <row r="3" spans="3:13" ht="408.75" customHeight="1" x14ac:dyDescent="0.2">
      <c r="C3" s="4"/>
      <c r="D3" s="40"/>
      <c r="E3" s="41"/>
      <c r="F3" s="5"/>
      <c r="G3" s="10"/>
      <c r="H3" s="6"/>
      <c r="I3" s="5"/>
      <c r="J3" s="10"/>
      <c r="K3" s="10"/>
      <c r="L3" s="6"/>
      <c r="M3" s="11"/>
    </row>
    <row r="4" spans="3:13" ht="12.75" customHeight="1" x14ac:dyDescent="0.2">
      <c r="D4" s="12"/>
      <c r="E4" s="13"/>
      <c r="H4" s="14"/>
      <c r="I4" s="11"/>
      <c r="L4" s="14"/>
      <c r="M4" s="11"/>
    </row>
    <row r="5" spans="3:13" ht="12.75" customHeight="1" x14ac:dyDescent="0.2">
      <c r="C5" s="4"/>
      <c r="D5" s="42" t="s">
        <v>13</v>
      </c>
      <c r="E5" s="43"/>
      <c r="F5" s="7"/>
      <c r="H5" s="14"/>
      <c r="I5" s="11"/>
      <c r="L5" s="14"/>
      <c r="M5" s="11"/>
    </row>
    <row r="6" spans="3:13" ht="138.75" customHeight="1" x14ac:dyDescent="0.2">
      <c r="C6" s="4"/>
      <c r="D6" s="40"/>
      <c r="E6" s="41"/>
      <c r="F6" s="15"/>
      <c r="G6" s="11"/>
      <c r="H6" s="14"/>
      <c r="I6" s="11"/>
      <c r="L6" s="14"/>
      <c r="M6" s="11"/>
    </row>
    <row r="7" spans="3:13" ht="12.75" customHeight="1" x14ac:dyDescent="0.2">
      <c r="D7" s="12"/>
      <c r="E7" s="13"/>
      <c r="F7" s="14"/>
      <c r="G7" s="11"/>
      <c r="H7" s="14"/>
      <c r="I7" s="11"/>
      <c r="L7" s="14"/>
      <c r="M7" s="11"/>
    </row>
    <row r="8" spans="3:13" ht="18.75" customHeight="1" x14ac:dyDescent="0.2">
      <c r="C8" s="4"/>
      <c r="D8" s="42" t="s">
        <v>30</v>
      </c>
      <c r="E8" s="43"/>
      <c r="F8" s="16"/>
      <c r="G8" s="11"/>
      <c r="H8" s="14"/>
      <c r="I8" s="11"/>
      <c r="L8" s="14"/>
      <c r="M8" s="11"/>
    </row>
    <row r="9" spans="3:13" ht="409.5" customHeight="1" x14ac:dyDescent="0.2">
      <c r="C9" s="4"/>
      <c r="D9" s="40"/>
      <c r="E9" s="41"/>
      <c r="F9" s="16"/>
      <c r="G9" s="11"/>
      <c r="H9" s="14"/>
      <c r="I9" s="11"/>
      <c r="L9" s="14"/>
      <c r="M9" s="11"/>
    </row>
    <row r="10" spans="3:13" ht="12.75" customHeight="1" x14ac:dyDescent="0.2">
      <c r="D10" s="12"/>
      <c r="E10" s="13"/>
      <c r="F10" s="14"/>
      <c r="G10" s="11"/>
      <c r="H10" s="9"/>
      <c r="I10" s="7"/>
      <c r="L10" s="14"/>
      <c r="M10" s="11"/>
    </row>
    <row r="11" spans="3:13" ht="12.75" customHeight="1" x14ac:dyDescent="0.2">
      <c r="C11" s="4"/>
      <c r="D11" s="42" t="s">
        <v>4</v>
      </c>
      <c r="E11" s="43"/>
      <c r="F11" s="17"/>
      <c r="G11" s="18"/>
      <c r="H11" s="44" t="s">
        <v>16</v>
      </c>
      <c r="I11" s="45"/>
      <c r="J11" s="7"/>
      <c r="L11" s="14"/>
      <c r="M11" s="11"/>
    </row>
    <row r="12" spans="3:13" ht="93" customHeight="1" x14ac:dyDescent="0.2">
      <c r="C12" s="4"/>
      <c r="D12" s="40"/>
      <c r="E12" s="41"/>
      <c r="F12" s="15"/>
      <c r="G12" s="15"/>
      <c r="H12" s="40"/>
      <c r="I12" s="41"/>
      <c r="J12" s="15"/>
      <c r="K12" s="11"/>
      <c r="L12" s="14"/>
      <c r="M12" s="11"/>
    </row>
    <row r="13" spans="3:13" ht="12.75" customHeight="1" x14ac:dyDescent="0.2">
      <c r="D13" s="12"/>
      <c r="E13" s="13"/>
      <c r="F13" s="14"/>
      <c r="G13" s="11"/>
      <c r="H13" s="6"/>
      <c r="I13" s="19"/>
      <c r="J13" s="14"/>
      <c r="K13" s="11"/>
      <c r="L13" s="14"/>
      <c r="M13" s="11"/>
    </row>
    <row r="14" spans="3:13" ht="12.75" customHeight="1" x14ac:dyDescent="0.2">
      <c r="C14" s="4"/>
      <c r="D14" s="42" t="s">
        <v>11</v>
      </c>
      <c r="E14" s="43"/>
      <c r="F14" s="16"/>
      <c r="G14" s="11"/>
      <c r="H14" s="14"/>
      <c r="I14" s="11"/>
      <c r="J14" s="14"/>
      <c r="K14" s="11"/>
      <c r="L14" s="14"/>
      <c r="M14" s="11"/>
    </row>
    <row r="15" spans="3:13" ht="409.5" customHeight="1" x14ac:dyDescent="0.2">
      <c r="C15" s="4"/>
      <c r="D15" s="40"/>
      <c r="E15" s="41"/>
      <c r="F15" s="16"/>
      <c r="G15" s="11"/>
      <c r="H15" s="14"/>
      <c r="I15" s="11"/>
      <c r="J15" s="14"/>
      <c r="K15" s="11"/>
      <c r="L15" s="14"/>
      <c r="M15" s="11"/>
    </row>
    <row r="16" spans="3:13" ht="12.75" customHeight="1" x14ac:dyDescent="0.2">
      <c r="D16" s="12"/>
      <c r="E16" s="13"/>
      <c r="F16" s="14"/>
      <c r="G16" s="11"/>
      <c r="H16" s="14"/>
      <c r="I16" s="11"/>
      <c r="J16" s="14"/>
      <c r="K16" s="11"/>
      <c r="L16" s="14"/>
      <c r="M16" s="11"/>
    </row>
    <row r="17" spans="1:13" ht="12.75" customHeight="1" x14ac:dyDescent="0.2">
      <c r="C17" s="4"/>
      <c r="D17" s="42" t="s">
        <v>3</v>
      </c>
      <c r="E17" s="43"/>
      <c r="F17" s="17"/>
      <c r="G17" s="11"/>
      <c r="H17" s="14"/>
      <c r="I17" s="11"/>
      <c r="J17" s="14"/>
      <c r="K17" s="11"/>
      <c r="L17" s="14"/>
      <c r="M17" s="11"/>
    </row>
    <row r="18" spans="1:13" ht="107.25" customHeight="1" x14ac:dyDescent="0.2">
      <c r="C18" s="4"/>
      <c r="D18" s="40"/>
      <c r="E18" s="41"/>
      <c r="F18" s="19"/>
      <c r="H18" s="14"/>
      <c r="I18" s="11"/>
      <c r="J18" s="14"/>
      <c r="K18" s="11"/>
      <c r="L18" s="14"/>
      <c r="M18" s="11"/>
    </row>
    <row r="19" spans="1:13" ht="12.75" customHeight="1" x14ac:dyDescent="0.2">
      <c r="D19" s="12"/>
      <c r="E19" s="13"/>
      <c r="H19" s="9"/>
      <c r="I19" s="7"/>
      <c r="J19" s="14"/>
      <c r="K19" s="11"/>
      <c r="L19" s="14"/>
      <c r="M19" s="11"/>
    </row>
    <row r="20" spans="1:13" ht="12.75" customHeight="1" x14ac:dyDescent="0.2">
      <c r="C20" s="4"/>
      <c r="D20" s="42" t="s">
        <v>7</v>
      </c>
      <c r="E20" s="43"/>
      <c r="F20" s="46" t="s">
        <v>32</v>
      </c>
      <c r="G20" s="47"/>
      <c r="H20" s="44" t="s">
        <v>1</v>
      </c>
      <c r="I20" s="45"/>
      <c r="J20" s="16"/>
      <c r="K20" s="11"/>
      <c r="L20" s="14"/>
      <c r="M20" s="11"/>
    </row>
    <row r="21" spans="1:13" ht="409.5" customHeight="1" x14ac:dyDescent="0.2">
      <c r="C21" s="4"/>
      <c r="D21" s="40"/>
      <c r="E21" s="41"/>
      <c r="F21" s="46"/>
      <c r="G21" s="47"/>
      <c r="H21" s="40"/>
      <c r="I21" s="41"/>
      <c r="J21" s="16"/>
      <c r="K21" s="11"/>
      <c r="L21" s="14"/>
      <c r="M21" s="11"/>
    </row>
    <row r="22" spans="1:13" ht="12.75" customHeight="1" x14ac:dyDescent="0.2">
      <c r="D22" s="12"/>
      <c r="E22" s="13"/>
      <c r="H22" s="20"/>
      <c r="I22" s="20"/>
      <c r="J22" s="14"/>
      <c r="K22" s="11"/>
      <c r="L22" s="9"/>
      <c r="M22" s="7"/>
    </row>
    <row r="23" spans="1:13" ht="12.75" customHeight="1" x14ac:dyDescent="0.2">
      <c r="C23" s="4"/>
      <c r="D23" s="42" t="s">
        <v>10</v>
      </c>
      <c r="E23" s="43"/>
      <c r="F23" s="8"/>
      <c r="G23" s="21"/>
      <c r="H23" s="21"/>
      <c r="I23" s="21"/>
      <c r="J23" s="9"/>
      <c r="K23" s="17"/>
      <c r="L23" s="44" t="s">
        <v>21</v>
      </c>
      <c r="M23" s="45"/>
    </row>
    <row r="24" spans="1:13" ht="113.25" customHeight="1" x14ac:dyDescent="0.2">
      <c r="C24" s="4"/>
      <c r="D24" s="40"/>
      <c r="E24" s="41"/>
      <c r="F24" s="5"/>
      <c r="G24" s="10"/>
      <c r="H24" s="10"/>
      <c r="I24" s="10"/>
      <c r="J24" s="6"/>
      <c r="K24" s="22"/>
      <c r="L24" s="40"/>
      <c r="M24" s="41"/>
    </row>
    <row r="25" spans="1:13" ht="12.75" customHeight="1" x14ac:dyDescent="0.2">
      <c r="D25" s="12"/>
      <c r="E25" s="13"/>
      <c r="J25" s="14"/>
      <c r="K25" s="11"/>
      <c r="L25" s="6"/>
      <c r="M25" s="19"/>
    </row>
    <row r="26" spans="1:13" ht="12.75" customHeight="1" x14ac:dyDescent="0.2">
      <c r="B26" s="3"/>
      <c r="C26" s="23"/>
      <c r="D26" s="44" t="s">
        <v>18</v>
      </c>
      <c r="E26" s="45"/>
      <c r="F26" s="11"/>
      <c r="J26" s="14"/>
      <c r="K26" s="11"/>
      <c r="L26" s="14"/>
      <c r="M26" s="11"/>
    </row>
    <row r="27" spans="1:13" ht="409.5" customHeight="1" x14ac:dyDescent="0.2">
      <c r="A27" s="4"/>
      <c r="B27" s="5"/>
      <c r="C27" s="6"/>
      <c r="D27" s="40"/>
      <c r="E27" s="41"/>
      <c r="F27" s="11"/>
      <c r="J27" s="14"/>
      <c r="K27" s="11"/>
      <c r="L27" s="14"/>
      <c r="M27" s="11"/>
    </row>
    <row r="28" spans="1:13" ht="12.75" customHeight="1" x14ac:dyDescent="0.2">
      <c r="A28" s="23"/>
      <c r="B28" s="8"/>
      <c r="D28" s="12"/>
      <c r="E28" s="13"/>
      <c r="J28" s="14"/>
      <c r="K28" s="11"/>
      <c r="L28" s="14"/>
      <c r="M28" s="11"/>
    </row>
    <row r="29" spans="1:13" x14ac:dyDescent="0.2">
      <c r="A29" s="44" t="s">
        <v>33</v>
      </c>
      <c r="B29" s="45"/>
      <c r="C29" s="24"/>
      <c r="D29" s="42" t="s">
        <v>15</v>
      </c>
      <c r="E29" s="43"/>
      <c r="F29" s="8"/>
      <c r="G29" s="21"/>
      <c r="H29" s="21"/>
      <c r="I29" s="21"/>
      <c r="J29" s="9"/>
      <c r="K29" s="11"/>
      <c r="L29" s="14"/>
      <c r="M29" s="11"/>
    </row>
    <row r="30" spans="1:13" ht="322.5" customHeight="1" x14ac:dyDescent="0.2">
      <c r="A30" s="40"/>
      <c r="B30" s="41"/>
      <c r="C30" s="24"/>
      <c r="D30" s="40"/>
      <c r="E30" s="41"/>
      <c r="F30" s="19"/>
      <c r="G30" s="20"/>
      <c r="H30" s="20"/>
      <c r="I30" s="20"/>
      <c r="J30" s="20"/>
      <c r="L30" s="14"/>
      <c r="M30" s="11"/>
    </row>
    <row r="31" spans="1:13" x14ac:dyDescent="0.2">
      <c r="A31" s="12"/>
      <c r="B31" s="13"/>
      <c r="D31" s="12"/>
      <c r="E31" s="13"/>
      <c r="L31" s="9"/>
      <c r="M31" s="7"/>
    </row>
    <row r="32" spans="1:13" x14ac:dyDescent="0.2">
      <c r="A32" s="42" t="s">
        <v>12</v>
      </c>
      <c r="B32" s="43"/>
      <c r="C32" s="16" t="s">
        <v>32</v>
      </c>
      <c r="D32" s="42" t="s">
        <v>12</v>
      </c>
      <c r="E32" s="43"/>
      <c r="F32" s="46" t="s">
        <v>31</v>
      </c>
      <c r="G32" s="49"/>
      <c r="H32" s="49"/>
      <c r="I32" s="49"/>
      <c r="J32" s="49"/>
      <c r="K32" s="47"/>
      <c r="L32" s="42" t="s">
        <v>12</v>
      </c>
      <c r="M32" s="43"/>
    </row>
    <row r="33" spans="1:13" ht="409.5" customHeight="1" x14ac:dyDescent="0.2">
      <c r="A33" s="50"/>
      <c r="B33" s="48"/>
      <c r="C33" s="16"/>
      <c r="D33" s="40"/>
      <c r="E33" s="41"/>
      <c r="F33" s="46"/>
      <c r="G33" s="49"/>
      <c r="H33" s="49"/>
      <c r="I33" s="49"/>
      <c r="J33" s="49"/>
      <c r="K33" s="47"/>
      <c r="L33" s="40"/>
      <c r="M33" s="48"/>
    </row>
    <row r="34" spans="1:13" x14ac:dyDescent="0.2">
      <c r="A34" s="20"/>
      <c r="B34" s="20"/>
      <c r="D34" s="12"/>
      <c r="E34" s="13"/>
      <c r="L34" s="20"/>
      <c r="M34" s="20"/>
    </row>
    <row r="35" spans="1:13" x14ac:dyDescent="0.2">
      <c r="C35" s="4"/>
      <c r="D35" s="44" t="s">
        <v>20</v>
      </c>
      <c r="E35" s="45"/>
      <c r="F35" s="11"/>
    </row>
    <row r="36" spans="1:13" ht="213.75" customHeight="1" x14ac:dyDescent="0.2">
      <c r="C36" s="4"/>
      <c r="D36" s="40"/>
      <c r="E36" s="41"/>
      <c r="F36" s="11"/>
    </row>
    <row r="38" spans="1:13" ht="15.75" customHeight="1" x14ac:dyDescent="0.2">
      <c r="E38" s="25"/>
      <c r="F38" s="25"/>
      <c r="H38" s="40"/>
      <c r="I38" s="48"/>
    </row>
    <row r="91" ht="0.75" customHeight="1" x14ac:dyDescent="0.2"/>
  </sheetData>
  <mergeCells count="41"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  <mergeCell ref="L23:M23"/>
    <mergeCell ref="D24:E24"/>
    <mergeCell ref="L24:M24"/>
    <mergeCell ref="D26:E26"/>
    <mergeCell ref="D35:E35"/>
    <mergeCell ref="L32:M32"/>
    <mergeCell ref="L33:M33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D9:E9"/>
    <mergeCell ref="D2:E2"/>
    <mergeCell ref="D3:E3"/>
    <mergeCell ref="D5:E5"/>
    <mergeCell ref="D6:E6"/>
    <mergeCell ref="D8:E8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2.75" x14ac:dyDescent="0.2"/>
  <cols>
    <col min="1" max="4" width="11.2851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George Tolkachov (TL_KCOMP_B_Y3)</cp:lastModifiedBy>
  <dcterms:created xsi:type="dcterms:W3CDTF">2011-10-19T09:55:01Z</dcterms:created>
  <dcterms:modified xsi:type="dcterms:W3CDTF">2026-10-06T14:38:39Z</dcterms:modified>
</cp:coreProperties>
</file>